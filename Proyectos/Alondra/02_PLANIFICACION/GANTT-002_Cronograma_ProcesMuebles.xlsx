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6852ab2b0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a07d05729ee545f8"/>
    <x:sheet xmlns:r="http://schemas.openxmlformats.org/officeDocument/2006/relationships" name="Recuperación" sheetId="2" r:id="R62de83754d4b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45e7837b14a77" /><Relationship Type="http://schemas.openxmlformats.org/officeDocument/2006/relationships/theme" Target="/xl/theme/theme1.xml" Id="Reb13ff46b672466c" /><Relationship Type="http://schemas.openxmlformats.org/officeDocument/2006/relationships/sharedStrings" Target="/xl/sharedStrings.xml" Id="R89b2d85ad4754587" /><Relationship Type="http://schemas.openxmlformats.org/officeDocument/2006/relationships/worksheet" Target="/xl/worksheets/sheet1.xml" Id="Ra07d05729ee545f8" /><Relationship Type="http://schemas.openxmlformats.org/officeDocument/2006/relationships/worksheet" Target="/xl/worksheets/sheet2.xml" Id="R62de83754d4b43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3" hidden="0" customWidth="1"/>
    <x:col min="4" max="4" width="13" hidden="0" customWidth="1"/>
    <x:col min="5" max="5" width="13" hidden="0" customWidth="1"/>
    <x:col min="6" max="6" width="20" hidden="0" customWidth="1"/>
    <x:col min="7" max="7" width="13" hidden="0" customWidth="1"/>
    <x:col min="8" max="8" width="36" hidden="0" customWidth="1"/>
    <x:col min="10" max="10" width="19" hidden="0" customWidth="1"/>
    <x:col min="11" max="11" width="19" hidden="0" customWidth="1"/>
  </x:cols>
  <x:sheetData>
    <x:row r="1">
      <x:c r="A1" s="5" t="str">
        <x:v>GANTT-002 · Cronograma y seguimiento — ProcesMuebles</x:v>
      </x:c>
      <x:c r="B1" s="5"/>
      <x:c r="C1" s="5"/>
      <x:c r="D1" s="5"/>
      <x:c r="E1" s="5"/>
      <x:c r="F1" s="5"/>
      <x:c r="G1" s="5"/>
      <x:c r="H1" s="5"/>
      <x:c r="J1" s="36" t="str">
        <x:v>Resumen de estado</x:v>
      </x:c>
      <x:c r="K1" s="36"/>
      <x:c r="L1" s="36"/>
    </x:row>
    <x:row r="2">
      <x:c r="A2" s="26" t="str">
        <x:v>Project Manager</x:v>
      </x:c>
      <x:c r="B2" s="26" t="str">
        <x:v>Amaury Jahaziel Gordillo Hernández</x:v>
      </x:c>
      <x:c r="C2" s="26"/>
      <x:c r="D2" s="26"/>
      <x:c r="E2" s="26"/>
      <x:c r="F2" s="26"/>
      <x:c r="G2" s="26"/>
      <x:c r="H2" s="26"/>
      <x:c r="J2" s="20" t="str">
        <x:v>En revisión / corrección</x:v>
      </x:c>
      <x:c r="K2" s="20" t="n">
        <x:f>COUNTIF(F7:F14,"En revisión")+COUNTIF(F7:F14,"Requiere corrección")+COUNTIF(F7:F14,"Reabierto en revisión")</x:f>
        <x:v>5</x:v>
      </x:c>
    </x:row>
    <x:row r="3">
      <x:c r="A3" s="26" t="str">
        <x:v>Persona ejecutora</x:v>
      </x:c>
      <x:c r="B3" s="26" t="str">
        <x:v>Alondra Yudivia Santis Ovalle</x:v>
      </x:c>
      <x:c r="C3" s="26"/>
      <x:c r="D3" s="26"/>
      <x:c r="E3" s="26"/>
      <x:c r="F3" s="26"/>
      <x:c r="G3" s="26"/>
      <x:c r="H3" s="26"/>
      <x:c r="J3" s="20" t="str">
        <x:v>Pendientes</x:v>
      </x:c>
      <x:c r="K3" s="20" t="n">
        <x:f>COUNTIF(F7:F14,"Pendiente")</x:f>
        <x:v>3</x:v>
      </x:c>
    </x:row>
    <x:row r="4">
      <x:c r="A4" s="26" t="str">
        <x:v>Fecha de corte</x:v>
      </x:c>
      <x:c r="B4" s="27" t="n">
        <x:v>46281</x:v>
      </x:c>
      <x:c r="C4" s="26"/>
      <x:c r="D4" s="26"/>
      <x:c r="E4" s="26"/>
      <x:c r="F4" s="26"/>
      <x:c r="G4" s="26"/>
      <x:c r="H4" s="26"/>
      <x:c r="J4" s="20" t="str">
        <x:v>Completados</x:v>
      </x:c>
      <x:c r="K4" s="20" t="n">
        <x:f>COUNTIF(F7:F14,"Completado")</x:f>
        <x:v>0</x:v>
      </x:c>
    </x:row>
    <x:row r="5">
      <x:c r="A5" s="26"/>
      <x:c r="B5" s="26"/>
      <x:c r="C5" s="26"/>
      <x:c r="D5" s="26"/>
      <x:c r="E5" s="26"/>
      <x:c r="F5" s="26"/>
      <x:c r="G5" s="26"/>
      <x:c r="H5" s="26"/>
      <x:c r="J5" s="20" t="str">
        <x:v>Total entregables</x:v>
      </x:c>
      <x:c r="K5" s="20" t="n">
        <x:f>COUNTA(A7:A14)</x:f>
        <x:v>8</x:v>
      </x:c>
    </x:row>
    <x:row r="6">
      <x:c r="A6" s="15" t="str">
        <x:v>ID</x:v>
      </x:c>
      <x:c r="B6" s="15" t="str">
        <x:v>Entregable</x:v>
      </x:c>
      <x:c r="C6" s="15" t="str">
        <x:v>Inicio plan</x:v>
      </x:c>
      <x:c r="D6" s="15" t="str">
        <x:v>Fin plan</x:v>
      </x:c>
      <x:c r="E6" s="15" t="str">
        <x:v>Fecha evidencia</x:v>
      </x:c>
      <x:c r="F6" s="15" t="str">
        <x:v>Estado actual</x:v>
      </x:c>
      <x:c r="G6" s="15" t="str">
        <x:v>Desviación (días)</x:v>
      </x:c>
      <x:c r="H6" s="15" t="str">
        <x:v>Observación PM</x:v>
      </x:c>
    </x:row>
    <x:row r="7">
      <x:c r="A7" s="28" t="str">
        <x:v>D1</x:v>
      </x:c>
      <x:c r="B7" s="28" t="str">
        <x:v>Mapa general del proceso</x:v>
      </x:c>
      <x:c r="C7" s="29" t="n">
        <x:v>46256</x:v>
      </x:c>
      <x:c r="D7" s="29" t="n">
        <x:v>46256</x:v>
      </x:c>
      <x:c r="E7" s="29" t="n">
        <x:v>46256</x:v>
      </x:c>
      <x:c r="F7" s="28" t="str">
        <x:v>En revisión</x:v>
      </x:c>
      <x:c r="G7" s="30" t="n">
        <x:f>IF(E7&lt;&gt;"",MAX(0,E7-D7),MAX(0,$B$4-D7))</x:f>
        <x:v>0</x:v>
      </x:c>
      <x:c r="H7" s="28" t="str">
        <x:v>Revisar contra BPMN final.</x:v>
      </x:c>
    </x:row>
    <x:row r="8">
      <x:c r="A8" s="28" t="str">
        <x:v>D2</x:v>
      </x:c>
      <x:c r="B8" s="28" t="str">
        <x:v>Datos y tiempos</x:v>
      </x:c>
      <x:c r="C8" s="29" t="n">
        <x:v>46257</x:v>
      </x:c>
      <x:c r="D8" s="29" t="n">
        <x:v>46257</x:v>
      </x:c>
      <x:c r="E8" s="29" t="n">
        <x:v>46257</x:v>
      </x:c>
      <x:c r="F8" s="28" t="str">
        <x:v>Requiere corrección</x:v>
      </x:c>
      <x:c r="G8" s="30" t="n">
        <x:f>IF(E8&lt;&gt;"",MAX(0,E8-D8),MAX(0,$B$4-D8))</x:f>
        <x:v>0</x:v>
      </x:c>
      <x:c r="H8" s="28" t="str">
        <x:v>Aclarar referencia vs. parámetros usados.</x:v>
      </x:c>
    </x:row>
    <x:row r="9">
      <x:c r="A9" s="28" t="str">
        <x:v>D3</x:v>
      </x:c>
      <x:c r="B9" s="28" t="str">
        <x:v>Modelado BPMN</x:v>
      </x:c>
      <x:c r="C9" s="29" t="n">
        <x:v>46258</x:v>
      </x:c>
      <x:c r="D9" s="29" t="n">
        <x:v>46258</x:v>
      </x:c>
      <x:c r="E9" s="29" t="n">
        <x:v>46258</x:v>
      </x:c>
      <x:c r="F9" s="28" t="str">
        <x:v>Requiere corrección</x:v>
      </x:c>
      <x:c r="G9" s="30" t="n">
        <x:f>IF(E9&lt;&gt;"",MAX(0,E9-D9),MAX(0,$B$4-D9))</x:f>
        <x:v>0</x:v>
      </x:c>
      <x:c r="H9" s="28" t="str">
        <x:v>Agregar Inspección explícita.</x:v>
      </x:c>
    </x:row>
    <x:row r="10">
      <x:c r="A10" s="28" t="str">
        <x:v>D4</x:v>
      </x:c>
      <x:c r="B10" s="28" t="str">
        <x:v>Modelo configurado</x:v>
      </x:c>
      <x:c r="C10" s="29" t="n">
        <x:v>46259</x:v>
      </x:c>
      <x:c r="D10" s="29" t="n">
        <x:v>46260</x:v>
      </x:c>
      <x:c r="E10" s="29" t="n">
        <x:v>46260</x:v>
      </x:c>
      <x:c r="F10" s="28" t="str">
        <x:v>En revisión</x:v>
      </x:c>
      <x:c r="G10" s="30" t="n">
        <x:f>IF(E10&lt;&gt;"",MAX(0,E10-D10),MAX(0,$B$4-D10))</x:f>
        <x:v>0</x:v>
      </x:c>
      <x:c r="H10" s="28" t="str">
        <x:v>Actualizar después de D2-D3.</x:v>
      </x:c>
    </x:row>
    <x:row r="11">
      <x:c r="A11" s="28" t="str">
        <x:v>D5</x:v>
      </x:c>
      <x:c r="B11" s="28" t="str">
        <x:v>Pruebas y validación</x:v>
      </x:c>
      <x:c r="C11" s="29" t="n">
        <x:v>46261</x:v>
      </x:c>
      <x:c r="D11" s="29" t="n">
        <x:v>46261</x:v>
      </x:c>
      <x:c r="E11" s="29" t="n">
        <x:v>46261</x:v>
      </x:c>
      <x:c r="F11" s="28" t="str">
        <x:v>Reabierto en revisión</x:v>
      </x:c>
      <x:c r="G11" s="30" t="n">
        <x:f>IF(E11&lt;&gt;"",MAX(0,E11-D11),MAX(0,$B$4-D11))</x:f>
        <x:v>0</x:v>
      </x:c>
      <x:c r="H11" s="28" t="str">
        <x:v>Gestión de pedidos aparece con tiempo 0.</x:v>
      </x:c>
    </x:row>
    <x:row r="12">
      <x:c r="A12" s="28" t="str">
        <x:v>D6</x:v>
      </x:c>
      <x:c r="B12" s="28" t="str">
        <x:v>Análisis de escenarios</x:v>
      </x:c>
      <x:c r="C12" s="29" t="n">
        <x:v>46262</x:v>
      </x:c>
      <x:c r="D12" s="29" t="n">
        <x:v>46262</x:v>
      </x:c>
      <x:c r="E12" s="29"/>
      <x:c r="F12" s="28" t="str">
        <x:v>Pendiente</x:v>
      </x:c>
      <x:c r="G12" s="30" t="n">
        <x:f>IF(E12&lt;&gt;"",MAX(0,E12-D12),MAX(0,$B$4-D12))</x:f>
        <x:v>19</x:v>
      </x:c>
      <x:c r="H12" s="28" t="str">
        <x:v>No iniciar hasta aprobar nueva línea base.</x:v>
      </x:c>
    </x:row>
    <x:row r="13">
      <x:c r="A13" s="28" t="str">
        <x:v>D7</x:v>
      </x:c>
      <x:c r="B13" s="28" t="str">
        <x:v>Informe de resultados</x:v>
      </x:c>
      <x:c r="C13" s="29" t="n">
        <x:v>46263</x:v>
      </x:c>
      <x:c r="D13" s="29" t="n">
        <x:v>46263</x:v>
      </x:c>
      <x:c r="E13" s="29"/>
      <x:c r="F13" s="28" t="str">
        <x:v>Pendiente</x:v>
      </x:c>
      <x:c r="G13" s="30" t="n">
        <x:f>IF(E13&lt;&gt;"",MAX(0,E13-D13),MAX(0,$B$4-D13))</x:f>
        <x:v>18</x:v>
      </x:c>
      <x:c r="H13" s="28" t="str">
        <x:v>Depende de D6.</x:v>
      </x:c>
    </x:row>
    <x:row r="14">
      <x:c r="A14" s="28" t="str">
        <x:v>D8</x:v>
      </x:c>
      <x:c r="B14" s="28" t="str">
        <x:v>Entrega final</x:v>
      </x:c>
      <x:c r="C14" s="29" t="n">
        <x:v>46264</x:v>
      </x:c>
      <x:c r="D14" s="29" t="n">
        <x:v>46264</x:v>
      </x:c>
      <x:c r="E14" s="29"/>
      <x:c r="F14" s="28" t="str">
        <x:v>Pendiente</x:v>
      </x:c>
      <x:c r="G14" s="30" t="n">
        <x:f>IF(E14&lt;&gt;"",MAX(0,E14-D14),MAX(0,$B$4-D14))</x:f>
        <x:v>17</x:v>
      </x:c>
      <x:c r="H14" s="28" t="str">
        <x:v>Depende de D7.</x:v>
      </x:c>
    </x:row>
  </x:sheetData>
  <x:mergeCells>
    <x:mergeCell ref="A1:H1"/>
    <x:mergeCell ref="J1:L1"/>
  </x:mergeCells>
  <x:conditionalFormatting sqref="F7:F14">
    <x:cfRule type="expression" dxfId="0" priority="1">
      <x:formula>F7="Pendiente"</x:formula>
    </x:cfRule>
    <x:cfRule type="expression" dxfId="1" priority="2">
      <x:formula>OR(F7="En revisión",F7="Reabierto en revisión")</x:formula>
    </x:cfRule>
    <x:cfRule type="expression" dxfId="2" priority="3">
      <x:formula>F7="Requiere corrección"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6" hidden="0" customWidth="1"/>
    <x:col min="5" max="5" width="12" hidden="0" customWidth="1"/>
    <x:col min="6" max="6" width="28" hidden="0" customWidth="1"/>
  </x:cols>
  <x:sheetData>
    <x:row r="1">
      <x:c r="A1" s="13" t="str">
        <x:v>ID</x:v>
      </x:c>
      <x:c r="B1" s="13" t="str">
        <x:v>Actividad</x:v>
      </x:c>
      <x:c r="C1" s="13" t="str">
        <x:v>Duración estimada</x:v>
      </x:c>
      <x:c r="D1" s="13" t="str">
        <x:v>Responsable</x:v>
      </x:c>
      <x:c r="E1" s="13" t="str">
        <x:v>Predecesor</x:v>
      </x:c>
      <x:c r="F1" s="13" t="str">
        <x:v>Criterio de salida</x:v>
      </x:c>
    </x:row>
    <x:row r="2">
      <x:c r="A2" s="20" t="str">
        <x:v>R1</x:v>
      </x:c>
      <x:c r="B2" s="20" t="str">
        <x:v>Corregir D2-D5</x:v>
      </x:c>
      <x:c r="C2" s="20" t="str">
        <x:v>1-2 jornadas</x:v>
      </x:c>
      <x:c r="D2" s="20" t="str">
        <x:v>Alondra</x:v>
      </x:c>
      <x:c r="E2" s="20" t="str">
        <x:v>-</x:v>
      </x:c>
      <x:c r="F2" s="20" t="str">
        <x:v>Nueva línea base generada</x:v>
      </x:c>
    </x:row>
    <x:row r="3">
      <x:c r="A3" s="20" t="str">
        <x:v>R2</x:v>
      </x:c>
      <x:c r="B3" s="20" t="str">
        <x:v>Revisión PM de línea base</x:v>
      </x:c>
      <x:c r="C3" s="20" t="str">
        <x:v>1 jornada</x:v>
      </x:c>
      <x:c r="D3" s="20" t="str">
        <x:v>Amaury</x:v>
      </x:c>
      <x:c r="E3" s="20" t="str">
        <x:v>R1</x:v>
      </x:c>
      <x:c r="F3" s="20" t="str">
        <x:v>D1-D5 aprobados</x:v>
      </x:c>
    </x:row>
    <x:row r="4">
      <x:c r="A4" s="20" t="str">
        <x:v>R3</x:v>
      </x:c>
      <x:c r="B4" s="20" t="str">
        <x:v>D6 · Análisis de escenarios</x:v>
      </x:c>
      <x:c r="C4" s="20" t="str">
        <x:v>1-2 jornadas</x:v>
      </x:c>
      <x:c r="D4" s="20" t="str">
        <x:v>Alondra</x:v>
      </x:c>
      <x:c r="E4" s="20" t="str">
        <x:v>R2</x:v>
      </x:c>
      <x:c r="F4" s="20" t="str">
        <x:v>Comparación documentada</x:v>
      </x:c>
    </x:row>
    <x:row r="5">
      <x:c r="A5" s="20" t="str">
        <x:v>R4</x:v>
      </x:c>
      <x:c r="B5" s="20" t="str">
        <x:v>D7 · Informe de resultados</x:v>
      </x:c>
      <x:c r="C5" s="20" t="str">
        <x:v>1 jornada</x:v>
      </x:c>
      <x:c r="D5" s="20" t="str">
        <x:v>Alondra</x:v>
      </x:c>
      <x:c r="E5" s="20" t="str">
        <x:v>R3</x:v>
      </x:c>
      <x:c r="F5" s="20" t="str">
        <x:v>Informe completo</x:v>
      </x:c>
    </x:row>
    <x:row r="6">
      <x:c r="A6" s="20" t="str">
        <x:v>R5</x:v>
      </x:c>
      <x:c r="B6" s="20" t="str">
        <x:v>D8 · Entrega final</x:v>
      </x:c>
      <x:c r="C6" s="20" t="str">
        <x:v>1 jornada</x:v>
      </x:c>
      <x:c r="D6" s="20" t="str">
        <x:v>Alondra</x:v>
      </x:c>
      <x:c r="E6" s="20" t="str">
        <x:v>R4</x:v>
      </x:c>
      <x:c r="F6" s="20" t="str">
        <x:v>Paquete final entregado</x:v>
      </x:c>
    </x:row>
    <x:row r="7">
      <x:c r="A7" s="20" t="str">
        <x:v>R6</x:v>
      </x:c>
      <x:c r="B7" s="20" t="str">
        <x:v>Validación y cierre PM</x:v>
      </x:c>
      <x:c r="C7" s="20" t="str">
        <x:v>1 jornada</x:v>
      </x:c>
      <x:c r="D7" s="20" t="str">
        <x:v>Amaury</x:v>
      </x:c>
      <x:c r="E7" s="20" t="str">
        <x:v>R5</x:v>
      </x:c>
      <x:c r="F7" s="20" t="str">
        <x:v>VALID-002 y cierre formal</x:v>
      </x:c>
    </x:row>
  </x:sheetData>
  <x:pageMargins left="0.7" right="0.7" top="0.75" bottom="0.75" header="0.3" footer="0.3"/>
</x:worksheet>
</file>