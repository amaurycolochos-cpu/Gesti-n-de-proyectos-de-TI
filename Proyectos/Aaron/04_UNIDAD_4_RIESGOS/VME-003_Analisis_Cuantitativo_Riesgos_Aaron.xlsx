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86351a52f42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ME" sheetId="1" r:id="R62196851169a4398"/>
    <x:sheet xmlns:r="http://schemas.openxmlformats.org/officeDocument/2006/relationships" name="Resumen" sheetId="2" r:id="R46df2d4d0faa4f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%"/>
    <x:numFmt numFmtId="202" formatCode="0.0"/>
    <x:numFmt numFmtId="203" formatCode="$#,##0.00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2F2F2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4E7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A"/>
      </x:patternFill>
    </x:fill>
    <x:fill>
      <x:patternFill patternType="solid">
        <x:fgColor rgb="FF2E75B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/>
    <x:xf numFmtId="0" fontId="0" fillId="5" borderId="0" xfId="0" applyNumberFormat="1" applyFont="1" applyFill="1" applyBorder="1"/>
    <x:xf numFmtId="203" fontId="0" fillId="5" borderId="0" xfId="0" applyNumberFormat="1" applyFont="1" applyFill="1" applyBorder="1"/>
    <x:xf numFmtId="0" fontId="4" fillId="5" borderId="0" xfId="0" applyNumberFormat="1" applyFont="1" applyFill="1" applyBorder="1"/>
    <x:xf numFmtId="203" fontId="4" fillId="5" borderId="0" xfId="0" applyNumberFormat="1" applyFont="1" applyFill="1" applyBorder="1"/>
    <x:xf numFmtId="0" fontId="0" fillId="5" borderId="1" xfId="0" applyNumberFormat="1" applyFont="1" applyFill="1" applyBorder="1"/>
    <x:xf numFmtId="203" fontId="0" fillId="5" borderId="1" xfId="0" applyNumberFormat="1" applyFont="1" applyFill="1" applyBorder="1"/>
    <x:xf numFmtId="0" fontId="4" fillId="5" borderId="1" xfId="0" applyNumberFormat="1" applyFont="1" applyFill="1" applyBorder="1"/>
    <x:xf numFmtId="203" fontId="4" fillId="5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</x:cellXfs>
  <x:cellStyles count="1">
    <x:cellStyle name="Normal" xfId="0"/>
  </x:cellStyles>
  <x:dxfs count="3"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83dfb20ddc4877" /><Relationship Type="http://schemas.openxmlformats.org/officeDocument/2006/relationships/theme" Target="/xl/theme/theme1.xml" Id="R8422d32427a74efa" /><Relationship Type="http://schemas.openxmlformats.org/officeDocument/2006/relationships/sharedStrings" Target="/xl/sharedStrings.xml" Id="Ra0e208430c294541" /><Relationship Type="http://schemas.openxmlformats.org/officeDocument/2006/relationships/worksheet" Target="/xl/worksheets/sheet1.xml" Id="R62196851169a4398" /><Relationship Type="http://schemas.openxmlformats.org/officeDocument/2006/relationships/worksheet" Target="/xl/worksheets/sheet2.xml" Id="R46df2d4d0faa4f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68c42b253341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VME estimado por riesgo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VME (MXN)</c:v>
          </c:tx>
          <c:cat>
            <c:strRef>
              <c:f>'VME'!$B$10:$B$16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'VME'!$F$10:$F$16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9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68c42b2533419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MERisksTable" displayName="VMERisksTable" ref="A9:I16" headerRowCount="1" totalsRowCount="0" totalsRowShown="0">
  <x:tableColumns count="9">
    <x:tableColumn id="1" name="ID"/>
    <x:tableColumn id="2" name="Riesgo"/>
    <x:tableColumn id="3" name="Probabilidad"/>
    <x:tableColumn id="4" name="Impacto estimado (h)"/>
    <x:tableColumn id="5" name="Impacto monetario (MXN)"/>
    <x:tableColumn id="6" name="VME (MXN)"/>
    <x:tableColumn id="7" name="Prioridad"/>
    <x:tableColumn id="8" name="Respuesta prevista"/>
    <x:tableColumn id="9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df415830eed49dd" /><Relationship Type="http://schemas.openxmlformats.org/officeDocument/2006/relationships/table" Target="/xl/tables/table1.xml" Id="Rf08dc485a7dc4359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3" hidden="0" customWidth="1"/>
    <x:col min="4" max="4" width="16" hidden="0" customWidth="1"/>
    <x:col min="5" max="5" width="19" hidden="0" customWidth="1"/>
    <x:col min="6" max="6" width="14" hidden="0" customWidth="1"/>
    <x:col min="7" max="7" width="11" hidden="0" customWidth="1"/>
    <x:col min="8" max="8" width="34" hidden="0" customWidth="1"/>
    <x:col min="9" max="9" width="22" hidden="0" customWidth="1"/>
  </x:cols>
  <x:sheetData>
    <x:row r="1" ht="30" customHeight="1">
      <x:c r="A1" s="7" t="str">
        <x:v>VME-003 · Análisis cuantitativo de riesgos — Fast Burger</x:v>
      </x:c>
      <x:c r="B1" s="7"/>
      <x:c r="C1" s="7"/>
      <x:c r="D1" s="7"/>
      <x:c r="E1" s="7"/>
      <x:c r="F1" s="7"/>
      <x:c r="G1" s="7"/>
      <x:c r="H1" s="7"/>
      <x:c r="I1" s="7"/>
    </x:row>
    <x:row r="2" ht="30" customHeight="1">
      <x:c r="A2" s="14" t="str">
        <x:v>Ejercicio académico de Valor Monetario Esperado (VME). Los importes son supuestos para cuantificar riesgos; no representan gastos reales del proyecto.</x:v>
      </x:c>
      <x:c r="B2" s="14"/>
      <x:c r="C2" s="14"/>
      <x:c r="D2" s="14"/>
      <x:c r="E2" s="14"/>
      <x:c r="F2" s="14"/>
      <x:c r="G2" s="14"/>
      <x:c r="H2" s="14"/>
      <x:c r="I2" s="14"/>
    </x:row>
    <x:row r="4">
      <x:c r="A4" s="20" t="str">
        <x:v>Supuesto</x:v>
      </x:c>
      <x:c r="B4" s="20" t="str">
        <x:v>Valor</x:v>
      </x:c>
    </x:row>
    <x:row r="5">
      <x:c r="A5" t="str">
        <x:v>Costo académico de retrabajo por hora (MXN)</x:v>
      </x:c>
      <x:c r="B5" t="n">
        <x:v>150</x:v>
      </x:c>
    </x:row>
    <x:row r="6">
      <x:c r="A6" t="str">
        <x:v>Fecha de análisis</x:v>
      </x:c>
      <x:c r="B6" s="2" t="n">
        <x:v>46271</x:v>
      </x:c>
    </x:row>
    <x:row r="7">
      <x:c r="A7" t="str">
        <x:v>Fórmula</x:v>
      </x:c>
      <x:c r="B7" t="str">
        <x:v>VME = Probabilidad × Impacto monetario</x:v>
      </x:c>
    </x:row>
    <x:row r="9" ht="36" customHeight="1">
      <x:c r="A9" s="27" t="str">
        <x:v>ID</x:v>
      </x:c>
      <x:c r="B9" s="27" t="str">
        <x:v>Riesgo</x:v>
      </x:c>
      <x:c r="C9" s="27" t="str">
        <x:v>Probabilidad</x:v>
      </x:c>
      <x:c r="D9" s="27" t="str">
        <x:v>Impacto estimado (h)</x:v>
      </x:c>
      <x:c r="E9" s="27" t="str">
        <x:v>Impacto monetario (MXN)</x:v>
      </x:c>
      <x:c r="F9" s="27" t="str">
        <x:v>VME (MXN)</x:v>
      </x:c>
      <x:c r="G9" s="27" t="str">
        <x:v>Prioridad</x:v>
      </x:c>
      <x:c r="H9" s="27" t="str">
        <x:v>Respuesta prevista</x:v>
      </x:c>
      <x:c r="I9" s="27" t="str">
        <x:v>Estado</x:v>
      </x:c>
    </x:row>
    <x:row r="10" ht="36" customHeight="1">
      <x:c r="A10" s="32" t="str">
        <x:v>R1</x:v>
      </x:c>
      <x:c r="B10" s="32" t="str">
        <x:v>Retraso por disponibilidad limitada</x:v>
      </x:c>
      <x:c r="C10" s="34" t="n">
        <x:v>0.7</x:v>
      </x:c>
      <x:c r="D10" s="36" t="n">
        <x:v>10</x:v>
      </x:c>
      <x:c r="E10" s="38" t="n">
        <x:f>D10*$B$5</x:f>
        <x:v>1500</x:v>
      </x:c>
      <x:c r="F10" s="38" t="n">
        <x:f>C10*E10</x:f>
        <x:v>1050</x:v>
      </x:c>
      <x:c r="G10" s="32" t="str">
        <x:f>IF(F10&gt;=600,"Alta",IF(F10&gt;=300,"Media","Baja"))</x:f>
        <x:v>Alta</x:v>
      </x:c>
      <x:c r="H10" s="32" t="str">
        <x:v>Plan de recuperación, priorización y reducción de complejidad</x:v>
      </x:c>
      <x:c r="I10" s="32" t="str">
        <x:v>Materializado / controlado</x:v>
      </x:c>
    </x:row>
    <x:row r="11" ht="36" customHeight="1">
      <x:c r="A11" s="32" t="str">
        <x:v>R2</x:v>
      </x:c>
      <x:c r="B11" s="32" t="str">
        <x:v>Herramienta de trabajo no definida</x:v>
      </x:c>
      <x:c r="C11" s="34" t="n">
        <x:v>0.5</x:v>
      </x:c>
      <x:c r="D11" s="36" t="n">
        <x:v>6</x:v>
      </x:c>
      <x:c r="E11" s="38" t="n">
        <x:f>D11*$B$5</x:f>
        <x:v>900</x:v>
      </x:c>
      <x:c r="F11" s="38" t="n">
        <x:f>C11*E11</x:f>
        <x:v>450</x:v>
      </x:c>
      <x:c r="G11" s="32" t="str">
        <x:f>IF(F11&gt;=600,"Alta",IF(F11&gt;=300,"Media","Baja"))</x:f>
        <x:v>Media</x:v>
      </x:c>
      <x:c r="H11" s="32" t="str">
        <x:v>Definir Bizagi como herramienta principal</x:v>
      </x:c>
      <x:c r="I11" s="32" t="str">
        <x:v>Controlado</x:v>
      </x:c>
    </x:row>
    <x:row r="12" ht="36" customHeight="1">
      <x:c r="A12" s="32" t="str">
        <x:v>R3</x:v>
      </x:c>
      <x:c r="B12" s="32" t="str">
        <x:v>Falta de datos reales</x:v>
      </x:c>
      <x:c r="C12" s="34" t="n">
        <x:v>0.6</x:v>
      </x:c>
      <x:c r="D12" s="36" t="n">
        <x:v>5</x:v>
      </x:c>
      <x:c r="E12" s="38" t="n">
        <x:f>D12*$B$5</x:f>
        <x:v>750</x:v>
      </x:c>
      <x:c r="F12" s="38" t="n">
        <x:f>C12*E12</x:f>
        <x:v>450</x:v>
      </x:c>
      <x:c r="G12" s="32" t="str">
        <x:f>IF(F12&gt;=600,"Alta",IF(F12&gt;=300,"Media","Baja"))</x:f>
        <x:v>Media</x:v>
      </x:c>
      <x:c r="H12" s="32" t="str">
        <x:v>Usar supuestos académicos documentados</x:v>
      </x:c>
      <x:c r="I12" s="32" t="str">
        <x:v>Controlado</x:v>
      </x:c>
    </x:row>
    <x:row r="13" ht="36" customHeight="1">
      <x:c r="A13" s="32" t="str">
        <x:v>R4</x:v>
      </x:c>
      <x:c r="B13" s="32" t="str">
        <x:v>Error de configuración en Bizagi</x:v>
      </x:c>
      <x:c r="C13" s="34" t="n">
        <x:v>0.5</x:v>
      </x:c>
      <x:c r="D13" s="36" t="n">
        <x:v>8</x:v>
      </x:c>
      <x:c r="E13" s="38" t="n">
        <x:f>D13*$B$5</x:f>
        <x:v>1200</x:v>
      </x:c>
      <x:c r="F13" s="38" t="n">
        <x:f>C13*E13</x:f>
        <x:v>600</x:v>
      </x:c>
      <x:c r="G13" s="32" t="str">
        <x:f>IF(F13&gt;=600,"Alta",IF(F13&gt;=300,"Media","Baja"))</x:f>
        <x:v>Alta</x:v>
      </x:c>
      <x:c r="H13" s="32" t="str">
        <x:v>Pruebas por etapas y verificación de parámetros</x:v>
      </x:c>
      <x:c r="I13" s="32" t="str">
        <x:v>Controlado</x:v>
      </x:c>
    </x:row>
    <x:row r="14" ht="36" customHeight="1">
      <x:c r="A14" s="32" t="str">
        <x:v>R5</x:v>
      </x:c>
      <x:c r="B14" s="32" t="str">
        <x:v>Inconsistencia entre resultados y reporte</x:v>
      </x:c>
      <x:c r="C14" s="34" t="n">
        <x:v>0.4</x:v>
      </x:c>
      <x:c r="D14" s="36" t="n">
        <x:v>4</x:v>
      </x:c>
      <x:c r="E14" s="38" t="n">
        <x:f>D14*$B$5</x:f>
        <x:v>600</x:v>
      </x:c>
      <x:c r="F14" s="38" t="n">
        <x:f>C14*E14</x:f>
        <x:v>240</x:v>
      </x:c>
      <x:c r="G14" s="32" t="str">
        <x:f>IF(F14&gt;=600,"Alta",IF(F14&gt;=300,"Media","Baja"))</x:f>
        <x:v>Baja</x:v>
      </x:c>
      <x:c r="H14" s="32" t="str">
        <x:v>Comparar D6/D7 contra Excel originales antes de aprobar</x:v>
      </x:c>
      <x:c r="I14" s="32" t="str">
        <x:v>Materializado / corregido</x:v>
      </x:c>
    </x:row>
    <x:row r="15" ht="36" customHeight="1">
      <x:c r="A15" s="32" t="str">
        <x:v>R6</x:v>
      </x:c>
      <x:c r="B15" s="32" t="str">
        <x:v>Ampliación del alcance</x:v>
      </x:c>
      <x:c r="C15" s="34" t="n">
        <x:v>0.4</x:v>
      </x:c>
      <x:c r="D15" s="36" t="n">
        <x:v>6</x:v>
      </x:c>
      <x:c r="E15" s="38" t="n">
        <x:f>D15*$B$5</x:f>
        <x:v>900</x:v>
      </x:c>
      <x:c r="F15" s="38" t="n">
        <x:f>C15*E15</x:f>
        <x:v>360</x:v>
      </x:c>
      <x:c r="G15" s="32" t="str">
        <x:f>IF(F15&gt;=600,"Alta",IF(F15&gt;=300,"Media","Baja"))</x:f>
        <x:v>Media</x:v>
      </x:c>
      <x:c r="H15" s="32" t="str">
        <x:v>Mantener alcance del ACTA-003 y registrar cambios</x:v>
      </x:c>
      <x:c r="I15" s="32" t="str">
        <x:v>Controlado</x:v>
      </x:c>
    </x:row>
    <x:row r="16" ht="36" customHeight="1">
      <x:c r="A16" s="32" t="str">
        <x:v>R7</x:v>
      </x:c>
      <x:c r="B16" s="32" t="str">
        <x:v>Versión final incorrecta en D8</x:v>
      </x:c>
      <x:c r="C16" s="34" t="n">
        <x:v>0.3</x:v>
      </x:c>
      <x:c r="D16" s="36" t="n">
        <x:v>3</x:v>
      </x:c>
      <x:c r="E16" s="38" t="n">
        <x:f>D16*$B$5</x:f>
        <x:v>450</x:v>
      </x:c>
      <x:c r="F16" s="38" t="n">
        <x:f>C16*E16</x:f>
        <x:v>135</x:v>
      </x:c>
      <x:c r="G16" s="32" t="str">
        <x:f>IF(F16&gt;=600,"Alta",IF(F16&gt;=300,"Media","Baja"))</x:f>
        <x:v>Baja</x:v>
      </x:c>
      <x:c r="H16" s="32" t="str">
        <x:v>Revisar paquete final, fechas y versiones antes de validar</x:v>
      </x:c>
      <x:c r="I16" s="32" t="str">
        <x:v>Controlado</x:v>
      </x:c>
    </x:row>
    <x:row r="17">
      <x:c r="E17" s="39"/>
      <x:c r="F17" s="39"/>
    </x:row>
    <x:row r="18">
      <x:c r="A18" s="44" t="str">
        <x:v>VME total estimado del conjunto de riesgos</x:v>
      </x:c>
      <x:c r="B18" s="44"/>
      <x:c r="C18" s="44"/>
      <x:c r="D18" s="44"/>
      <x:c r="E18" s="45"/>
      <x:c r="F18" s="45" t="n">
        <x:f>SUM(F10:F16)</x:f>
        <x:v>3285</x:v>
      </x:c>
    </x:row>
  </x:sheetData>
  <x:mergeCells>
    <x:mergeCell ref="A1:I1"/>
    <x:mergeCell ref="A2:I2"/>
    <x:mergeCell ref="A18:E18"/>
  </x:mergeCells>
  <x:conditionalFormatting sqref="G10:G16">
    <x:cfRule type="expression" dxfId="0" priority="1">
      <x:formula>G10="Alta"</x:formula>
    </x:cfRule>
    <x:cfRule type="expression" dxfId="1" priority="2">
      <x:formula>G10="Media"</x:formula>
    </x:cfRule>
    <x:cfRule type="expression" dxfId="2" priority="3">
      <x:formula>G10="Baja"</x:formula>
    </x:cfRule>
  </x:conditionalFormatting>
  <x:pageMargins left="0.7" right="0.7" top="0.75" bottom="0.75" header="0.3" footer="0.3"/>
  <x:drawing xmlns:r="http://schemas.openxmlformats.org/officeDocument/2006/relationships" r:id="R9df415830eed49dd"/>
  <x:tableParts count="1">
    <x:tablePart xmlns:r="http://schemas.openxmlformats.org/officeDocument/2006/relationships" r:id="Rf08dc485a7dc435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</x:cols>
  <x:sheetData>
    <x:row r="1">
      <x:c r="A1" s="6" t="str">
        <x:v>Resumen del análisis cuantitativo de riesgos</x:v>
      </x:c>
      <x:c r="B1" s="6"/>
      <x:c r="C1" s="6"/>
      <x:c r="D1" s="6"/>
      <x:c r="E1" s="6"/>
      <x:c r="F1" s="6"/>
    </x:row>
    <x:row r="3">
      <x:c r="A3" s="50" t="str">
        <x:v>Indicador</x:v>
      </x:c>
      <x:c r="B3" s="50" t="str">
        <x:v>Resultado</x:v>
      </x:c>
    </x:row>
    <x:row r="4">
      <x:c r="A4" s="32" t="str">
        <x:v>Número de riesgos</x:v>
      </x:c>
      <x:c r="B4" s="32" t="n">
        <x:f>COUNTA(VME!A10:A16)</x:f>
        <x:v>7</x:v>
      </x:c>
    </x:row>
    <x:row r="5">
      <x:c r="A5" s="32" t="str">
        <x:v>VME total (MXN)</x:v>
      </x:c>
      <x:c r="B5" s="38" t="n">
        <x:f>VME!F18</x:f>
        <x:v>3285</x:v>
      </x:c>
    </x:row>
    <x:row r="6">
      <x:c r="A6" s="32" t="str">
        <x:v>Riesgo con mayor VME</x:v>
      </x:c>
      <x:c r="B6" s="32" t="str">
        <x:f>INDEX(VME!B10:B16,MATCH(MAX(VME!F10:F16),VME!F10:F16,0))</x:f>
        <x:v>Retraso por disponibilidad limitada</x:v>
      </x:c>
    </x:row>
    <x:row r="7">
      <x:c r="A7" s="32" t="str">
        <x:v>Criterio de uso</x:v>
      </x:c>
      <x:c r="B7" s="32" t="str">
        <x:v>Ejercicio académico; no representa pérdidas reales</x:v>
      </x:c>
    </x:row>
    <x:row r="9">
      <x:c r="A9" s="53" t="str">
        <x:v>Interpretación</x:v>
      </x:c>
      <x:c r="B9" s="53"/>
      <x:c r="C9" s="53"/>
      <x:c r="D9" s="53"/>
      <x:c r="E9" s="53"/>
      <x:c r="F9" s="53"/>
    </x:row>
    <x:row r="10">
      <x:c r="A10" s="32" t="str">
        <x:v>El VME ayuda a comparar riesgos usando una misma base numérica. En este ejercicio se estimó un costo académico de $150 MXN por hora de retrabajo. La cifra sirve únicamente para practicar el análisis cuantitativo solicitado en la unidad; no afirma que Aarón haya tenido ese gasto real.</x:v>
      </x:c>
      <x:c r="B10" s="32"/>
      <x:c r="C10" s="32"/>
      <x:c r="D10" s="32"/>
      <x:c r="E10" s="32"/>
      <x:c r="F10" s="32"/>
    </x:row>
    <x:row r="11">
      <x:c r="A11" s="32"/>
      <x:c r="B11" s="32"/>
      <x:c r="C11" s="32"/>
      <x:c r="D11" s="32"/>
      <x:c r="E11" s="32"/>
      <x:c r="F11" s="32"/>
    </x:row>
    <x:row r="12">
      <x:c r="A12" s="32"/>
      <x:c r="B12" s="32"/>
      <x:c r="C12" s="32"/>
      <x:c r="D12" s="32"/>
      <x:c r="E12" s="32"/>
      <x:c r="F12" s="32"/>
    </x:row>
    <x:row r="13">
      <x:c r="A13" s="32"/>
      <x:c r="B13" s="32"/>
      <x:c r="C13" s="32"/>
      <x:c r="D13" s="32"/>
      <x:c r="E13" s="32"/>
      <x:c r="F13" s="32"/>
    </x:row>
  </x:sheetData>
  <x:mergeCells>
    <x:mergeCell ref="A1:F1"/>
    <x:mergeCell ref="A9:F9"/>
    <x:mergeCell ref="A10:F13"/>
  </x:mergeCells>
  <x:pageMargins left="0.7" right="0.7" top="0.75" bottom="0.75" header="0.3" footer="0.3"/>
</x:worksheet>
</file>