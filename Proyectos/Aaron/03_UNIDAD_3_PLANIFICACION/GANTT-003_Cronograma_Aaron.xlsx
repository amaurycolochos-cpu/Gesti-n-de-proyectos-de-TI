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2a1e1ee46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" sheetId="1" r:id="R0376f61413884a5a"/>
    <x:sheet xmlns:r="http://schemas.openxmlformats.org/officeDocument/2006/relationships" name="Gantt" sheetId="2" r:id="Rac11658bfddd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dd-mmm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F2F2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9"/>
      <x:name val="Carlito"/>
    </x:font>
    <x:font>
      <x:b/>
      <x:sz val="11"/>
      <x:color rgb="FF2E75B6"/>
      <x:name val="Carlito"/>
    </x:font>
    <x:font>
      <x:b/>
      <x:sz val="11"/>
      <x:color rgb="FF54823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2E75B6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202" fontId="3" fillId="4" borderId="0" xfId="0" applyNumberFormat="1" applyFont="1" applyFill="1" applyBorder="1"/>
    <x:xf numFmtId="202" fontId="3" fillId="4" borderId="0" xfId="0" applyNumberFormat="1" applyFont="1" applyFill="1" applyBorder="1" applyAlignment="1">
      <x:alignment horizontal="center"/>
    </x:xf>
    <x:xf numFmtId="202" fontId="3" fillId="4" borderId="1" xfId="0" applyNumberFormat="1" applyFont="1" applyFill="1" applyBorder="1"/>
    <x:xf numFmtId="202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bae4cc37a4285" /><Relationship Type="http://schemas.openxmlformats.org/officeDocument/2006/relationships/theme" Target="/xl/theme/theme1.xml" Id="Rbef6d3ae78d44482" /><Relationship Type="http://schemas.openxmlformats.org/officeDocument/2006/relationships/sharedStrings" Target="/xl/sharedStrings.xml" Id="Radbc287bcdef46cb" /><Relationship Type="http://schemas.openxmlformats.org/officeDocument/2006/relationships/worksheet" Target="/xl/worksheets/sheet1.xml" Id="R0376f61413884a5a" /><Relationship Type="http://schemas.openxmlformats.org/officeDocument/2006/relationships/worksheet" Target="/xl/worksheets/sheet2.xml" Id="Rac11658bfddd4e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4c3285d8f44146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Desviación</c:v>
          </c:tx>
          <c:cat>
            <c:strRef>
              <c:f>'Cronograma'!$A$5:$A$12</c:f>
              <c:strCache>
                <c:ptCount val="0"/>
              </c:strCache>
            </c:strRef>
          </c:cat>
          <c:val>
            <c:numRef>
              <c:f>'Cronograma'!$I$5:$I$12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6</xdr:row>
      <xdr:rowOff>0</xdr:rowOff>
    </xdr:from>
    <xdr:to>
      <xdr:col>19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4c3285d8f4414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fad4ecd5fd4ea4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3" hidden="0" customWidth="1"/>
    <x:col min="4" max="4" width="13" hidden="0" customWidth="1"/>
    <x:col min="5" max="5" width="13" hidden="0" customWidth="1"/>
    <x:col min="6" max="6" width="18" hidden="0" customWidth="1"/>
    <x:col min="7" max="7" width="11" hidden="0" customWidth="1"/>
    <x:col min="8" max="8" width="11" hidden="0" customWidth="1"/>
    <x:col min="9" max="9" width="14" hidden="0" customWidth="1"/>
    <x:col min="10" max="10" width="22" hidden="0" customWidth="1"/>
    <x:col min="12" max="12" width="23" hidden="0" customWidth="1"/>
    <x:col min="13" max="13" width="15" hidden="0" customWidth="1"/>
  </x:cols>
  <x:sheetData>
    <x:row r="1" ht="28" customHeight="1">
      <x:c r="A1" s="5" t="str">
        <x:v>GANTT-003 · Cronograma planificado vs. cierre real</x:v>
      </x:c>
      <x:c r="B1" s="5"/>
      <x:c r="C1" s="5"/>
      <x:c r="D1" s="5"/>
      <x:c r="E1" s="5"/>
      <x:c r="F1" s="5"/>
      <x:c r="G1" s="5"/>
      <x:c r="H1" s="5"/>
      <x:c r="I1" s="5"/>
      <x:c r="J1" s="5"/>
      <x:c r="L1" s="36" t="str">
        <x:v>Resumen</x:v>
      </x:c>
      <x:c r="M1" s="36" t="str">
        <x:v>Valor</x:v>
      </x:c>
    </x:row>
    <x:row r="2">
      <x:c r="A2" s="11" t="str">
        <x:v>Fast Burger · PLAN-003 de recuperación · Periodo base 27–30 de agosto de 2026</x:v>
      </x:c>
      <x:c r="B2" s="11"/>
      <x:c r="C2" s="11"/>
      <x:c r="D2" s="11"/>
      <x:c r="E2" s="11"/>
      <x:c r="F2" s="11"/>
      <x:c r="G2" s="11"/>
      <x:c r="H2" s="11"/>
      <x:c r="I2" s="11"/>
      <x:c r="J2" s="11"/>
      <x:c r="L2" s="38" t="str">
        <x:v>Entregables</x:v>
      </x:c>
      <x:c r="M2" t="n">
        <x:f>COUNTA(A5:A12)</x:f>
        <x:v>8</x:v>
      </x:c>
    </x:row>
    <x:row r="3">
      <x:c r="L3" s="38" t="str">
        <x:v>Completados</x:v>
      </x:c>
      <x:c r="M3" t="n">
        <x:f>M2</x:f>
        <x:v>8</x:v>
      </x:c>
    </x:row>
    <x:row r="4">
      <x:c r="A4" s="18" t="str">
        <x:v>ID</x:v>
      </x:c>
      <x:c r="B4" s="18" t="str">
        <x:v>Actividad</x:v>
      </x:c>
      <x:c r="C4" s="18" t="str">
        <x:v>Inicio plan</x:v>
      </x:c>
      <x:c r="D4" s="18" t="str">
        <x:v>Fin plan</x:v>
      </x:c>
      <x:c r="E4" s="18" t="str">
        <x:v>Inicio real</x:v>
      </x:c>
      <x:c r="F4" s="18" t="str">
        <x:v>Cierre / aceptación PM</x:v>
      </x:c>
      <x:c r="G4" s="18" t="str">
        <x:v>Días plan</x:v>
      </x:c>
      <x:c r="H4" s="18" t="str">
        <x:v>Días reales</x:v>
      </x:c>
      <x:c r="I4" s="18" t="str">
        <x:v>Desviación (días)</x:v>
      </x:c>
      <x:c r="J4" s="18" t="str">
        <x:v>Estado</x:v>
      </x:c>
      <x:c r="L4" s="38" t="str">
        <x:v>Con corrección posterior</x:v>
      </x:c>
      <x:c r="M4" t="n">
        <x:f>COUNTIF(J5:J12,"Corregido y aprobado")</x:f>
        <x:v>2</x:v>
      </x:c>
    </x:row>
    <x:row r="5">
      <x:c r="A5" s="28" t="str">
        <x:v>D1</x:v>
      </x:c>
      <x:c r="B5" s="25" t="str">
        <x:v>Diagrama del proceso</x:v>
      </x:c>
      <x:c r="C5" s="30" t="n">
        <x:v>46261</x:v>
      </x:c>
      <x:c r="D5" s="30" t="n">
        <x:v>46261</x:v>
      </x:c>
      <x:c r="E5" s="30" t="n">
        <x:v>46261</x:v>
      </x:c>
      <x:c r="F5" s="30" t="n">
        <x:v>46261</x:v>
      </x:c>
      <x:c r="G5" s="34" t="n">
        <x:f>D5-C5+1</x:f>
        <x:v>1</x:v>
      </x:c>
      <x:c r="H5" s="34" t="n">
        <x:f>F5-E5+1</x:f>
        <x:v>1</x:v>
      </x:c>
      <x:c r="I5" s="34" t="n">
        <x:f>F5-D5</x:f>
        <x:v>0</x:v>
      </x:c>
      <x:c r="J5" s="25" t="str">
        <x:v>Completado</x:v>
      </x:c>
      <x:c r="L5" s="38" t="str">
        <x:v>Fecha final técnica</x:v>
      </x:c>
      <x:c r="M5" s="32" t="n">
        <x:v>46268</x:v>
      </x:c>
    </x:row>
    <x:row r="6">
      <x:c r="A6" s="28" t="str">
        <x:v>D2</x:v>
      </x:c>
      <x:c r="B6" s="25" t="str">
        <x:v>Datos y parámetros</x:v>
      </x:c>
      <x:c r="C6" s="30" t="n">
        <x:v>46261</x:v>
      </x:c>
      <x:c r="D6" s="30" t="n">
        <x:v>46261</x:v>
      </x:c>
      <x:c r="E6" s="30" t="n">
        <x:v>46261</x:v>
      </x:c>
      <x:c r="F6" s="30" t="n">
        <x:v>46261</x:v>
      </x:c>
      <x:c r="G6" s="34" t="n">
        <x:f>D6-C6+1</x:f>
        <x:v>1</x:v>
      </x:c>
      <x:c r="H6" s="34" t="n">
        <x:f>F6-E6+1</x:f>
        <x:v>1</x:v>
      </x:c>
      <x:c r="I6" s="34" t="n">
        <x:f>F6-D6</x:f>
        <x:v>0</x:v>
      </x:c>
      <x:c r="J6" s="25" t="str">
        <x:v>Completado</x:v>
      </x:c>
    </x:row>
    <x:row r="7">
      <x:c r="A7" s="28" t="str">
        <x:v>D3</x:v>
      </x:c>
      <x:c r="B7" s="25" t="str">
        <x:v>Diseño del modelo</x:v>
      </x:c>
      <x:c r="C7" s="30" t="n">
        <x:v>46262</x:v>
      </x:c>
      <x:c r="D7" s="30" t="n">
        <x:v>46262</x:v>
      </x:c>
      <x:c r="E7" s="30" t="n">
        <x:v>46262</x:v>
      </x:c>
      <x:c r="F7" s="30" t="n">
        <x:v>46262</x:v>
      </x:c>
      <x:c r="G7" s="34" t="n">
        <x:f>D7-C7+1</x:f>
        <x:v>1</x:v>
      </x:c>
      <x:c r="H7" s="34" t="n">
        <x:f>F7-E7+1</x:f>
        <x:v>1</x:v>
      </x:c>
      <x:c r="I7" s="34" t="n">
        <x:f>F7-D7</x:f>
        <x:v>0</x:v>
      </x:c>
      <x:c r="J7" s="25" t="str">
        <x:v>Completado</x:v>
      </x:c>
    </x:row>
    <x:row r="8">
      <x:c r="A8" s="28" t="str">
        <x:v>D4</x:v>
      </x:c>
      <x:c r="B8" s="25" t="str">
        <x:v>Modelo funcional</x:v>
      </x:c>
      <x:c r="C8" s="30" t="n">
        <x:v>46262</x:v>
      </x:c>
      <x:c r="D8" s="30" t="n">
        <x:v>46263</x:v>
      </x:c>
      <x:c r="E8" s="30" t="n">
        <x:v>46262</x:v>
      </x:c>
      <x:c r="F8" s="30" t="n">
        <x:v>46263</x:v>
      </x:c>
      <x:c r="G8" s="34" t="n">
        <x:f>D8-C8+1</x:f>
        <x:v>2</x:v>
      </x:c>
      <x:c r="H8" s="34" t="n">
        <x:f>F8-E8+1</x:f>
        <x:v>2</x:v>
      </x:c>
      <x:c r="I8" s="34" t="n">
        <x:f>F8-D8</x:f>
        <x:v>0</x:v>
      </x:c>
      <x:c r="J8" s="25" t="str">
        <x:v>Completado</x:v>
      </x:c>
    </x:row>
    <x:row r="9">
      <x:c r="A9" s="28" t="str">
        <x:v>D5</x:v>
      </x:c>
      <x:c r="B9" s="25" t="str">
        <x:v>Pruebas y validación</x:v>
      </x:c>
      <x:c r="C9" s="30" t="n">
        <x:v>46263</x:v>
      </x:c>
      <x:c r="D9" s="30" t="n">
        <x:v>46263</x:v>
      </x:c>
      <x:c r="E9" s="30" t="n">
        <x:v>46262</x:v>
      </x:c>
      <x:c r="F9" s="30" t="n">
        <x:v>46263</x:v>
      </x:c>
      <x:c r="G9" s="34" t="n">
        <x:f>D9-C9+1</x:f>
        <x:v>1</x:v>
      </x:c>
      <x:c r="H9" s="34" t="n">
        <x:f>F9-E9+1</x:f>
        <x:v>2</x:v>
      </x:c>
      <x:c r="I9" s="34" t="n">
        <x:f>F9-D9</x:f>
        <x:v>0</x:v>
      </x:c>
      <x:c r="J9" s="25" t="str">
        <x:v>Completado</x:v>
      </x:c>
    </x:row>
    <x:row r="10">
      <x:c r="A10" s="28" t="str">
        <x:v>D6</x:v>
      </x:c>
      <x:c r="B10" s="25" t="str">
        <x:v>Comparación de escenarios</x:v>
      </x:c>
      <x:c r="C10" s="30" t="n">
        <x:v>46263</x:v>
      </x:c>
      <x:c r="D10" s="30" t="n">
        <x:v>46263</x:v>
      </x:c>
      <x:c r="E10" s="30" t="n">
        <x:v>46263</x:v>
      </x:c>
      <x:c r="F10" s="30" t="n">
        <x:v>46268</x:v>
      </x:c>
      <x:c r="G10" s="34" t="n">
        <x:f>D10-C10+1</x:f>
        <x:v>1</x:v>
      </x:c>
      <x:c r="H10" s="34" t="n">
        <x:f>F10-E10+1</x:f>
        <x:v>6</x:v>
      </x:c>
      <x:c r="I10" s="34" t="n">
        <x:f>F10-D10</x:f>
        <x:v>5</x:v>
      </x:c>
      <x:c r="J10" s="25" t="str">
        <x:v>Corregido y aprobado</x:v>
      </x:c>
    </x:row>
    <x:row r="11">
      <x:c r="A11" s="28" t="str">
        <x:v>D7</x:v>
      </x:c>
      <x:c r="B11" s="25" t="str">
        <x:v>Informe de resultados</x:v>
      </x:c>
      <x:c r="C11" s="30" t="n">
        <x:v>46264</x:v>
      </x:c>
      <x:c r="D11" s="30" t="n">
        <x:v>46264</x:v>
      </x:c>
      <x:c r="E11" s="30" t="n">
        <x:v>46264</x:v>
      </x:c>
      <x:c r="F11" s="30" t="n">
        <x:v>46268</x:v>
      </x:c>
      <x:c r="G11" s="34" t="n">
        <x:f>D11-C11+1</x:f>
        <x:v>1</x:v>
      </x:c>
      <x:c r="H11" s="34" t="n">
        <x:f>F11-E11+1</x:f>
        <x:v>5</x:v>
      </x:c>
      <x:c r="I11" s="34" t="n">
        <x:f>F11-D11</x:f>
        <x:v>4</x:v>
      </x:c>
      <x:c r="J11" s="25" t="str">
        <x:v>Corregido y aprobado</x:v>
      </x:c>
    </x:row>
    <x:row r="12">
      <x:c r="A12" s="28" t="str">
        <x:v>D8</x:v>
      </x:c>
      <x:c r="B12" s="25" t="str">
        <x:v>Entrega final</x:v>
      </x:c>
      <x:c r="C12" s="30" t="n">
        <x:v>46264</x:v>
      </x:c>
      <x:c r="D12" s="30" t="n">
        <x:v>46264</x:v>
      </x:c>
      <x:c r="E12" s="30" t="n">
        <x:v>46264</x:v>
      </x:c>
      <x:c r="F12" s="30" t="n">
        <x:v>46268</x:v>
      </x:c>
      <x:c r="G12" s="34" t="n">
        <x:f>D12-C12+1</x:f>
        <x:v>1</x:v>
      </x:c>
      <x:c r="H12" s="34" t="n">
        <x:f>F12-E12+1</x:f>
        <x:v>5</x:v>
      </x:c>
      <x:c r="I12" s="34" t="n">
        <x:f>F12-D12</x:f>
        <x:v>4</x:v>
      </x:c>
      <x:c r="J12" s="25" t="str">
        <x:v>Aprobado</x:v>
      </x:c>
    </x:row>
  </x:sheetData>
  <x:mergeCells>
    <x:mergeCell ref="A1:J1"/>
    <x:mergeCell ref="A2:J2"/>
  </x:mergeCells>
  <x:conditionalFormatting sqref="J5:J12">
    <x:cfRule type="expression" dxfId="0" priority="1">
      <x:formula>ISNUMBER(SEARCH("Corregido",J5))</x:formula>
    </x:cfRule>
    <x:cfRule type="expression" dxfId="1" priority="2">
      <x:formula>OR(J5="Completado",J5="Aprobado")</x:formula>
    </x:cfRule>
  </x:conditionalFormatting>
  <x:conditionalFormatting sqref="I5:I12">
    <x:cfRule type="cellIs" dxfId="2" priority="3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5afad4ecd5fd4ea4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9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</x:cols>
  <x:sheetData>
    <x:row r="1">
      <x:c r="A1" s="5" t="str">
        <x:v>GANTT-003 · Vista del cronograma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40" t="str">
        <x:v>Azul = planificado · Verde = ejecución/cierre registrado · D6-D8 se extendieron por correcciones finales.</x:v>
      </x:c>
      <x:c r="B2" s="40"/>
      <x:c r="C2" s="40"/>
      <x:c r="D2" s="40"/>
      <x:c r="E2" s="40"/>
      <x:c r="F2" s="40"/>
      <x:c r="G2" s="40"/>
      <x:c r="H2" s="40"/>
      <x:c r="I2" s="40"/>
      <x:c r="J2" s="40"/>
      <x:c r="K2" s="40"/>
    </x:row>
    <x:row r="4">
      <x:c r="A4" s="15" t="str">
        <x:v>ID</x:v>
      </x:c>
      <x:c r="B4" s="15" t="str">
        <x:v>Actividad</x:v>
      </x:c>
      <x:c r="C4" s="15" t="str">
        <x:v>Tipo</x:v>
      </x:c>
      <x:c r="D4" s="43" t="n">
        <x:v>46261</x:v>
      </x:c>
      <x:c r="E4" s="43" t="n">
        <x:v>46262</x:v>
      </x:c>
      <x:c r="F4" s="43" t="n">
        <x:v>46263</x:v>
      </x:c>
      <x:c r="G4" s="43" t="n">
        <x:v>46264</x:v>
      </x:c>
      <x:c r="H4" s="43" t="n">
        <x:v>46265</x:v>
      </x:c>
      <x:c r="I4" s="43" t="n">
        <x:v>46266</x:v>
      </x:c>
      <x:c r="J4" s="43" t="n">
        <x:v>46267</x:v>
      </x:c>
      <x:c r="K4" s="43" t="n">
        <x:v>46268</x:v>
      </x:c>
    </x:row>
    <x:row r="5">
      <x:c r="A5" s="58" t="str">
        <x:v>D1</x:v>
      </x:c>
      <x:c r="B5" s="24" t="str">
        <x:v>Diagrama del proceso</x:v>
      </x:c>
      <x:c r="C5" s="24" t="str">
        <x:v>Plan</x:v>
      </x:c>
      <x:c r="D5" s="48" t="str">
        <x:v>■</x:v>
      </x:c>
    </x:row>
    <x:row r="6">
      <x:c r="A6" s="58" t="str"/>
      <x:c r="B6" s="24" t="str"/>
      <x:c r="C6" s="24" t="str">
        <x:v>Real</x:v>
      </x:c>
      <x:c r="D6" s="54" t="str">
        <x:v>■</x:v>
      </x:c>
    </x:row>
    <x:row r="7">
      <x:c r="A7" s="58" t="str">
        <x:v>D2</x:v>
      </x:c>
      <x:c r="B7" s="24" t="str">
        <x:v>Datos y parámetros</x:v>
      </x:c>
      <x:c r="C7" s="24" t="str">
        <x:v>Plan</x:v>
      </x:c>
      <x:c r="D7" s="48" t="str">
        <x:v>■</x:v>
      </x:c>
    </x:row>
    <x:row r="8">
      <x:c r="A8" s="58" t="str"/>
      <x:c r="B8" s="24" t="str"/>
      <x:c r="C8" s="24" t="str">
        <x:v>Real</x:v>
      </x:c>
      <x:c r="D8" s="54" t="str">
        <x:v>■</x:v>
      </x:c>
    </x:row>
    <x:row r="9">
      <x:c r="A9" s="58" t="str">
        <x:v>D3</x:v>
      </x:c>
      <x:c r="B9" s="24" t="str">
        <x:v>Diseño del modelo</x:v>
      </x:c>
      <x:c r="C9" s="24" t="str">
        <x:v>Plan</x:v>
      </x:c>
      <x:c r="E9" s="48" t="str">
        <x:v>■</x:v>
      </x:c>
    </x:row>
    <x:row r="10">
      <x:c r="A10" s="58" t="str"/>
      <x:c r="B10" s="24" t="str"/>
      <x:c r="C10" s="24" t="str">
        <x:v>Real</x:v>
      </x:c>
      <x:c r="E10" s="54" t="str">
        <x:v>■</x:v>
      </x:c>
    </x:row>
    <x:row r="11">
      <x:c r="A11" s="58" t="str">
        <x:v>D4</x:v>
      </x:c>
      <x:c r="B11" s="24" t="str">
        <x:v>Modelo funcional</x:v>
      </x:c>
      <x:c r="C11" s="24" t="str">
        <x:v>Plan</x:v>
      </x:c>
      <x:c r="E11" s="48" t="str">
        <x:v>■</x:v>
      </x:c>
      <x:c r="F11" s="48" t="str">
        <x:v>■</x:v>
      </x:c>
    </x:row>
    <x:row r="12">
      <x:c r="A12" s="58" t="str"/>
      <x:c r="B12" s="24" t="str"/>
      <x:c r="C12" s="24" t="str">
        <x:v>Real</x:v>
      </x:c>
      <x:c r="E12" s="54" t="str">
        <x:v>■</x:v>
      </x:c>
      <x:c r="F12" s="54" t="str">
        <x:v>■</x:v>
      </x:c>
    </x:row>
    <x:row r="13">
      <x:c r="A13" s="58" t="str">
        <x:v>D5</x:v>
      </x:c>
      <x:c r="B13" s="24" t="str">
        <x:v>Pruebas y validación</x:v>
      </x:c>
      <x:c r="C13" s="24" t="str">
        <x:v>Plan</x:v>
      </x:c>
      <x:c r="F13" s="48" t="str">
        <x:v>■</x:v>
      </x:c>
    </x:row>
    <x:row r="14">
      <x:c r="A14" s="58" t="str"/>
      <x:c r="B14" s="24" t="str"/>
      <x:c r="C14" s="24" t="str">
        <x:v>Real</x:v>
      </x:c>
      <x:c r="E14" s="54" t="str">
        <x:v>■</x:v>
      </x:c>
      <x:c r="F14" s="54" t="str">
        <x:v>■</x:v>
      </x:c>
    </x:row>
    <x:row r="15">
      <x:c r="A15" s="58" t="str">
        <x:v>D6</x:v>
      </x:c>
      <x:c r="B15" s="24" t="str">
        <x:v>Comparación de escenarios</x:v>
      </x:c>
      <x:c r="C15" s="24" t="str">
        <x:v>Plan</x:v>
      </x:c>
      <x:c r="F15" s="48" t="str">
        <x:v>■</x:v>
      </x:c>
    </x:row>
    <x:row r="16">
      <x:c r="A16" s="58" t="str"/>
      <x:c r="B16" s="24" t="str"/>
      <x:c r="C16" s="24" t="str">
        <x:v>Real</x:v>
      </x:c>
      <x:c r="F16" s="54" t="str">
        <x:v>■</x:v>
      </x:c>
      <x:c r="G16" s="54" t="str">
        <x:v>■</x:v>
      </x:c>
      <x:c r="H16" s="54" t="str">
        <x:v>■</x:v>
      </x:c>
      <x:c r="I16" s="54" t="str">
        <x:v>■</x:v>
      </x:c>
      <x:c r="J16" s="54" t="str">
        <x:v>■</x:v>
      </x:c>
      <x:c r="K16" s="54" t="str">
        <x:v>■</x:v>
      </x:c>
    </x:row>
    <x:row r="17">
      <x:c r="A17" s="58" t="str">
        <x:v>D7</x:v>
      </x:c>
      <x:c r="B17" s="24" t="str">
        <x:v>Informe de resultados</x:v>
      </x:c>
      <x:c r="C17" s="24" t="str">
        <x:v>Plan</x:v>
      </x:c>
      <x:c r="G17" s="48" t="str">
        <x:v>■</x:v>
      </x:c>
    </x:row>
    <x:row r="18">
      <x:c r="A18" s="58" t="str"/>
      <x:c r="B18" s="24" t="str"/>
      <x:c r="C18" s="24" t="str">
        <x:v>Real</x:v>
      </x:c>
      <x:c r="G18" s="54" t="str">
        <x:v>■</x:v>
      </x:c>
      <x:c r="H18" s="54" t="str">
        <x:v>■</x:v>
      </x:c>
      <x:c r="I18" s="54" t="str">
        <x:v>■</x:v>
      </x:c>
      <x:c r="J18" s="54" t="str">
        <x:v>■</x:v>
      </x:c>
      <x:c r="K18" s="54" t="str">
        <x:v>■</x:v>
      </x:c>
    </x:row>
    <x:row r="19">
      <x:c r="A19" s="58" t="str">
        <x:v>D8</x:v>
      </x:c>
      <x:c r="B19" s="24" t="str">
        <x:v>Entrega final</x:v>
      </x:c>
      <x:c r="C19" s="24" t="str">
        <x:v>Plan</x:v>
      </x:c>
      <x:c r="G19" s="48" t="str">
        <x:v>■</x:v>
      </x:c>
    </x:row>
    <x:row r="20">
      <x:c r="A20" s="58" t="str"/>
      <x:c r="B20" s="24" t="str"/>
      <x:c r="C20" s="24" t="str">
        <x:v>Real</x:v>
      </x:c>
      <x:c r="G20" s="54" t="str">
        <x:v>■</x:v>
      </x:c>
      <x:c r="H20" s="54" t="str">
        <x:v>■</x:v>
      </x:c>
      <x:c r="I20" s="54" t="str">
        <x:v>■</x:v>
      </x:c>
      <x:c r="J20" s="54" t="str">
        <x:v>■</x:v>
      </x:c>
      <x:c r="K20" s="54" t="str">
        <x:v>■</x:v>
      </x:c>
    </x:row>
    <x:row r="22">
      <x:c r="A22" s="62" t="str">
        <x:v>Observación PM: el PLAN-003 terminaba el 30/08/2026. D6, D7 y D8 requirieron revisión y corrección; el cierre técnico definitivo quedó registrado el 03/09/2026.</x:v>
      </x:c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</x:row>
  </x:sheetData>
  <x:mergeCells>
    <x:mergeCell ref="A1:K1"/>
    <x:mergeCell ref="A2:K2"/>
    <x:mergeCell ref="A22:K23"/>
  </x:mergeCells>
  <x:pageMargins left="0.7" right="0.7" top="0.75" bottom="0.75" header="0.3" footer="0.3"/>
</x:worksheet>
</file>